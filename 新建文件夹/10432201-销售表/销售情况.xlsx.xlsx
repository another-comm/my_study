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2610\Desktop\"/>
    </mc:Choice>
  </mc:AlternateContent>
  <xr:revisionPtr revIDLastSave="0" documentId="13_ncr:1_{4D210721-31CA-4DFB-9136-34132070D0AE}" xr6:coauthVersionLast="47" xr6:coauthVersionMax="47" xr10:uidLastSave="{00000000-0000-0000-0000-000000000000}"/>
  <bookViews>
    <workbookView xWindow="-108" yWindow="-108" windowWidth="23256" windowHeight="13176" xr2:uid="{C4B4220F-6620-411C-9429-6DD22121FCA0}"/>
  </bookViews>
  <sheets>
    <sheet name="第二季度最终统计" sheetId="3" r:id="rId1"/>
    <sheet name="第二季度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7" i="3" l="1"/>
  <c r="D6" i="3"/>
  <c r="D7" i="3" s="1"/>
  <c r="C6" i="3"/>
  <c r="C7" i="3" s="1"/>
  <c r="B6" i="3"/>
  <c r="E5" i="3"/>
  <c r="I5" i="3" s="1"/>
  <c r="E4" i="3"/>
  <c r="I4" i="3" s="1"/>
  <c r="E3" i="3"/>
  <c r="I4" i="1"/>
  <c r="I5" i="1"/>
  <c r="I3" i="1"/>
  <c r="C6" i="1"/>
  <c r="C7" i="1" s="1"/>
  <c r="D6" i="1"/>
  <c r="D7" i="1" s="1"/>
  <c r="B6" i="1"/>
  <c r="B7" i="1" s="1"/>
  <c r="E4" i="1"/>
  <c r="F4" i="1" s="1"/>
  <c r="E5" i="1"/>
  <c r="F5" i="1" s="1"/>
  <c r="E3" i="1"/>
  <c r="E6" i="1" s="1"/>
  <c r="E7" i="1" s="1"/>
  <c r="E7" i="3" l="1"/>
  <c r="F3" i="3"/>
  <c r="I3" i="3"/>
  <c r="F4" i="3"/>
  <c r="F5" i="3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32610</author>
  </authors>
  <commentList>
    <comment ref="I4" authorId="0" shapeId="0" xr:uid="{9504000D-3559-4F12-84F5-E840C8BB2847}">
      <text>
        <r>
          <rPr>
            <sz val="9"/>
            <color indexed="81"/>
            <rFont val="宋体"/>
            <family val="3"/>
            <charset val="134"/>
          </rPr>
          <t xml:space="preserve">最大增长率
</t>
        </r>
      </text>
    </comment>
  </commentList>
</comments>
</file>

<file path=xl/sharedStrings.xml><?xml version="1.0" encoding="utf-8"?>
<sst xmlns="http://schemas.openxmlformats.org/spreadsheetml/2006/main" count="28" uniqueCount="12">
  <si>
    <t>第二季度销售情况</t>
    <phoneticPr fontId="1" type="noConversion"/>
  </si>
  <si>
    <t>四月</t>
    <phoneticPr fontId="1" type="noConversion"/>
  </si>
  <si>
    <t>五月</t>
    <phoneticPr fontId="1" type="noConversion"/>
  </si>
  <si>
    <t>六月</t>
    <phoneticPr fontId="1" type="noConversion"/>
  </si>
  <si>
    <t>总计</t>
    <phoneticPr fontId="1" type="noConversion"/>
  </si>
  <si>
    <t>平均</t>
    <phoneticPr fontId="1" type="noConversion"/>
  </si>
  <si>
    <t>第一季度销售额</t>
    <phoneticPr fontId="1" type="noConversion"/>
  </si>
  <si>
    <t>增长率</t>
    <phoneticPr fontId="1" type="noConversion"/>
  </si>
  <si>
    <t>东部</t>
    <phoneticPr fontId="1" type="noConversion"/>
  </si>
  <si>
    <t>南部</t>
    <phoneticPr fontId="1" type="noConversion"/>
  </si>
  <si>
    <t>西部</t>
    <phoneticPr fontId="1" type="noConversion"/>
  </si>
  <si>
    <t>操作人：小明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</si>
</sst>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176" formatCode="0.0%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24"/>
      <color theme="0"/>
      <name val="等线"/>
      <family val="3"/>
      <charset val="134"/>
      <scheme val="minor"/>
    </font>
    <font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5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/>
    </xf>
    <xf numFmtId="5" fontId="2" fillId="2" borderId="0" xfId="0" applyNumberFormat="1" applyFont="1" applyFill="1">
      <alignment vertical="center"/>
    </xf>
    <xf numFmtId="0" fontId="0" fillId="0" borderId="1" xfId="0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 baseline="0">
                <a:solidFill>
                  <a:srgbClr val="C00000"/>
                </a:solidFill>
              </a:rPr>
              <a:t>第二季度每月销售总额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第二季度最终统计!$B$2:$D$2</c:f>
              <c:strCache>
                <c:ptCount val="3"/>
                <c:pt idx="0">
                  <c:v>四月</c:v>
                </c:pt>
                <c:pt idx="1">
                  <c:v>五月</c:v>
                </c:pt>
                <c:pt idx="2">
                  <c:v>六月</c:v>
                </c:pt>
              </c:strCache>
            </c:strRef>
          </c:cat>
          <c:val>
            <c:numRef>
              <c:f>第二季度最终统计!$B$6:$D$6</c:f>
              <c:numCache>
                <c:formatCode>"¥"#,##0_);\("¥"#,##0\)</c:formatCode>
                <c:ptCount val="3"/>
                <c:pt idx="0">
                  <c:v>54450</c:v>
                </c:pt>
                <c:pt idx="1">
                  <c:v>59895</c:v>
                </c:pt>
                <c:pt idx="2">
                  <c:v>65883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7-436B-9698-59E1CB12E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553343"/>
        <c:axId val="1330553759"/>
      </c:barChart>
      <c:catAx>
        <c:axId val="1330553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zh-CN" altLang="en-US" sz="12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rPr>
                  <a:t>月份</a:t>
                </a:r>
              </a:p>
            </c:rich>
          </c:tx>
          <c:layout>
            <c:manualLayout>
              <c:xMode val="edge"/>
              <c:yMode val="edge"/>
              <c:x val="0.48056124234470693"/>
              <c:y val="0.867824074074073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zh-CN" altLang="en-US" sz="12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0553759"/>
        <c:crosses val="autoZero"/>
        <c:auto val="1"/>
        <c:lblAlgn val="ctr"/>
        <c:lblOffset val="100"/>
        <c:noMultiLvlLbl val="0"/>
      </c:catAx>
      <c:valAx>
        <c:axId val="133055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eaVert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200">
                    <a:solidFill>
                      <a:srgbClr val="7030A0"/>
                    </a:solidFill>
                  </a:rPr>
                  <a:t>金额</a:t>
                </a:r>
                <a:endParaRPr lang="en-US" altLang="zh-CN" sz="1200">
                  <a:solidFill>
                    <a:srgbClr val="7030A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&quot;¥&quot;#,##0_);\(&quot;¥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055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85725</xdr:colOff>
      <xdr:row>1</xdr:row>
      <xdr:rowOff>175260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A97193F-1842-EF2E-2E65-87B55998A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95325" cy="55626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15240</xdr:rowOff>
    </xdr:from>
    <xdr:to>
      <xdr:col>9</xdr:col>
      <xdr:colOff>0</xdr:colOff>
      <xdr:row>25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C0E51CFB-509B-05E2-C620-E11CB4F2D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0651-D7E3-4910-A1EB-49726C5635D1}">
  <dimension ref="A1:I15"/>
  <sheetViews>
    <sheetView tabSelected="1" workbookViewId="0">
      <selection activeCell="B6" activeCellId="1" sqref="B2:D2 B6:D6"/>
    </sheetView>
  </sheetViews>
  <sheetFormatPr defaultRowHeight="13.8" x14ac:dyDescent="0.25"/>
  <cols>
    <col min="5" max="5" width="9.77734375" bestFit="1" customWidth="1"/>
    <col min="8" max="8" width="17.33203125" customWidth="1"/>
  </cols>
  <sheetData>
    <row r="1" spans="1:9" ht="30" x14ac:dyDescent="0.25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14.4" thickBot="1" x14ac:dyDescent="0.3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H2" s="6" t="s">
        <v>6</v>
      </c>
      <c r="I2" s="6" t="s">
        <v>7</v>
      </c>
    </row>
    <row r="3" spans="1:9" ht="14.4" thickTop="1" x14ac:dyDescent="0.25">
      <c r="A3" t="s">
        <v>8</v>
      </c>
      <c r="B3" s="3">
        <v>15000</v>
      </c>
      <c r="C3" s="3">
        <v>16500</v>
      </c>
      <c r="D3" s="3">
        <v>18150</v>
      </c>
      <c r="E3" s="3">
        <f>B3+C3+D3</f>
        <v>49650</v>
      </c>
      <c r="F3" s="3">
        <f>E3/3</f>
        <v>16550</v>
      </c>
      <c r="G3" s="3"/>
      <c r="H3" s="3">
        <v>52000</v>
      </c>
      <c r="I3" s="2">
        <f>(E3-H3)/H3</f>
        <v>-4.5192307692307691E-2</v>
      </c>
    </row>
    <row r="4" spans="1:9" x14ac:dyDescent="0.25">
      <c r="A4" t="s">
        <v>9</v>
      </c>
      <c r="B4" s="3">
        <v>15780</v>
      </c>
      <c r="C4" s="3">
        <v>17358</v>
      </c>
      <c r="D4" s="3">
        <v>19093</v>
      </c>
      <c r="E4" s="3">
        <f t="shared" ref="E4:E5" si="0">B4+C4+D4</f>
        <v>52231</v>
      </c>
      <c r="F4" s="3">
        <f t="shared" ref="F4:F5" si="1">E4/3</f>
        <v>17410.333333333332</v>
      </c>
      <c r="G4" s="3"/>
      <c r="H4" s="3">
        <v>42339</v>
      </c>
      <c r="I4" s="2">
        <f t="shared" ref="I4:I5" si="2">(E4-H4)/H4</f>
        <v>0.2336380169583599</v>
      </c>
    </row>
    <row r="5" spans="1:9" x14ac:dyDescent="0.25">
      <c r="A5" t="s">
        <v>10</v>
      </c>
      <c r="B5" s="3">
        <v>23670</v>
      </c>
      <c r="C5" s="3">
        <v>26037</v>
      </c>
      <c r="D5" s="3">
        <v>28640</v>
      </c>
      <c r="E5" s="3">
        <f t="shared" si="0"/>
        <v>78347</v>
      </c>
      <c r="F5" s="3">
        <f t="shared" si="1"/>
        <v>26115.666666666668</v>
      </c>
      <c r="G5" s="3"/>
      <c r="H5" s="3">
        <v>76887</v>
      </c>
      <c r="I5" s="2">
        <f t="shared" si="2"/>
        <v>1.8988905796818709E-2</v>
      </c>
    </row>
    <row r="6" spans="1:9" x14ac:dyDescent="0.25">
      <c r="A6" s="5" t="s">
        <v>4</v>
      </c>
      <c r="B6" s="5">
        <f>B3+B4+B5</f>
        <v>54450</v>
      </c>
      <c r="C6" s="5">
        <f t="shared" ref="C6:E6" si="3">C3+C4+C5</f>
        <v>59895</v>
      </c>
      <c r="D6" s="5">
        <f t="shared" si="3"/>
        <v>65883</v>
      </c>
      <c r="E6" s="5">
        <v>180228</v>
      </c>
      <c r="F6" s="3"/>
      <c r="G6" s="3"/>
      <c r="H6" s="3"/>
    </row>
    <row r="7" spans="1:9" x14ac:dyDescent="0.25">
      <c r="A7" s="5" t="s">
        <v>5</v>
      </c>
      <c r="B7" s="5">
        <f>B6/3</f>
        <v>18150</v>
      </c>
      <c r="C7" s="5">
        <f t="shared" ref="C7:E7" si="4">C6/3</f>
        <v>19965</v>
      </c>
      <c r="D7" s="5">
        <f t="shared" si="4"/>
        <v>21961</v>
      </c>
      <c r="E7" s="5">
        <f t="shared" si="4"/>
        <v>60076</v>
      </c>
      <c r="F7" s="3"/>
      <c r="G7" s="3"/>
      <c r="H7" s="3"/>
    </row>
    <row r="11" spans="1:9" x14ac:dyDescent="0.25">
      <c r="A11" s="4" t="s">
        <v>11</v>
      </c>
      <c r="B11" s="4"/>
    </row>
    <row r="15" spans="1:9" x14ac:dyDescent="0.25">
      <c r="I15" s="2"/>
    </row>
  </sheetData>
  <mergeCells count="2">
    <mergeCell ref="A11:B11"/>
    <mergeCell ref="A1:I1"/>
  </mergeCells>
  <phoneticPr fontId="1" type="noConversion"/>
  <conditionalFormatting sqref="I3:I5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6C49A-4859-4B72-A7E3-FEE6E9730B53}">
  <dimension ref="A1:I11"/>
  <sheetViews>
    <sheetView workbookViewId="0">
      <selection activeCell="A11" sqref="A11:B11"/>
    </sheetView>
  </sheetViews>
  <sheetFormatPr defaultRowHeight="13.8" x14ac:dyDescent="0.25"/>
  <cols>
    <col min="8" max="8" width="17.33203125" customWidth="1"/>
  </cols>
  <sheetData>
    <row r="1" spans="1:9" x14ac:dyDescent="0.25">
      <c r="A1" s="1" t="s">
        <v>0</v>
      </c>
      <c r="B1" s="1"/>
    </row>
    <row r="2" spans="1:9" x14ac:dyDescent="0.25">
      <c r="B2" t="s">
        <v>1</v>
      </c>
      <c r="C2" t="s">
        <v>2</v>
      </c>
      <c r="D2" t="s">
        <v>3</v>
      </c>
      <c r="E2" t="s">
        <v>4</v>
      </c>
      <c r="F2" t="s">
        <v>5</v>
      </c>
      <c r="H2" t="s">
        <v>6</v>
      </c>
      <c r="I2" t="s">
        <v>7</v>
      </c>
    </row>
    <row r="3" spans="1:9" x14ac:dyDescent="0.25">
      <c r="A3" t="s">
        <v>8</v>
      </c>
      <c r="B3">
        <v>15000</v>
      </c>
      <c r="C3">
        <v>16500</v>
      </c>
      <c r="D3">
        <v>18150</v>
      </c>
      <c r="E3">
        <f>B3+C3+D3</f>
        <v>49650</v>
      </c>
      <c r="F3">
        <f>E3/3</f>
        <v>16550</v>
      </c>
      <c r="H3">
        <v>52000</v>
      </c>
      <c r="I3">
        <f>(E3-H3)/H3</f>
        <v>-4.5192307692307691E-2</v>
      </c>
    </row>
    <row r="4" spans="1:9" x14ac:dyDescent="0.25">
      <c r="A4" t="s">
        <v>9</v>
      </c>
      <c r="B4">
        <v>15780</v>
      </c>
      <c r="C4">
        <v>17358</v>
      </c>
      <c r="D4">
        <v>19093</v>
      </c>
      <c r="E4">
        <f t="shared" ref="E4:E5" si="0">B4+C4+D4</f>
        <v>52231</v>
      </c>
      <c r="F4">
        <f t="shared" ref="F4:F5" si="1">E4/3</f>
        <v>17410.333333333332</v>
      </c>
      <c r="H4">
        <v>42339</v>
      </c>
      <c r="I4">
        <f t="shared" ref="I4:I5" si="2">(E4-H4)/H4</f>
        <v>0.2336380169583599</v>
      </c>
    </row>
    <row r="5" spans="1:9" x14ac:dyDescent="0.25">
      <c r="A5" t="s">
        <v>10</v>
      </c>
      <c r="B5">
        <v>23670</v>
      </c>
      <c r="C5">
        <v>26037</v>
      </c>
      <c r="D5">
        <v>28640</v>
      </c>
      <c r="E5">
        <f t="shared" si="0"/>
        <v>78347</v>
      </c>
      <c r="F5">
        <f t="shared" si="1"/>
        <v>26115.666666666668</v>
      </c>
      <c r="H5">
        <v>76887</v>
      </c>
      <c r="I5">
        <f t="shared" si="2"/>
        <v>1.8988905796818709E-2</v>
      </c>
    </row>
    <row r="6" spans="1:9" x14ac:dyDescent="0.25">
      <c r="A6" t="s">
        <v>4</v>
      </c>
      <c r="B6">
        <f>B3+B4+B5</f>
        <v>54450</v>
      </c>
      <c r="C6">
        <f t="shared" ref="C6:E6" si="3">C3+C4+C5</f>
        <v>59895</v>
      </c>
      <c r="D6">
        <f t="shared" si="3"/>
        <v>65883</v>
      </c>
      <c r="E6">
        <f t="shared" si="3"/>
        <v>180228</v>
      </c>
    </row>
    <row r="7" spans="1:9" x14ac:dyDescent="0.25">
      <c r="A7" t="s">
        <v>5</v>
      </c>
      <c r="B7">
        <f>B6/3</f>
        <v>18150</v>
      </c>
      <c r="C7">
        <f t="shared" ref="C7:E7" si="4">C6/3</f>
        <v>19965</v>
      </c>
      <c r="D7">
        <f t="shared" si="4"/>
        <v>21961</v>
      </c>
      <c r="E7">
        <f t="shared" si="4"/>
        <v>60076</v>
      </c>
    </row>
    <row r="11" spans="1:9" x14ac:dyDescent="0.25">
      <c r="A11" s="1" t="s">
        <v>11</v>
      </c>
      <c r="B11" s="1"/>
    </row>
  </sheetData>
  <mergeCells count="2">
    <mergeCell ref="A1:B1"/>
    <mergeCell ref="A11:B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第二季度最终统计</vt:lpstr>
      <vt:lpstr>第二季度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32610</dc:creator>
  <cp:lastModifiedBy>32610</cp:lastModifiedBy>
  <dcterms:created xsi:type="dcterms:W3CDTF">2022-10-15T00:31:18Z</dcterms:created>
  <dcterms:modified xsi:type="dcterms:W3CDTF">2022-10-15T01:30:08Z</dcterms:modified>
</cp:coreProperties>
</file>