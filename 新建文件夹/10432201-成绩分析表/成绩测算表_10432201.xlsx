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2610\Desktop\10432201-成绩分析表\"/>
    </mc:Choice>
  </mc:AlternateContent>
  <xr:revisionPtr revIDLastSave="0" documentId="8_{2627F3DE-8795-48BE-9418-93ACBC57980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学生成绩测算表" sheetId="4" r:id="rId1"/>
    <sheet name="等级标准" sheetId="6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3" i="4" l="1"/>
  <c r="D24" i="4"/>
  <c r="D25" i="4"/>
  <c r="D26" i="4"/>
  <c r="D22" i="4"/>
  <c r="A1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4" i="4"/>
</calcChain>
</file>

<file path=xl/sharedStrings.xml><?xml version="1.0" encoding="utf-8"?>
<sst xmlns="http://schemas.openxmlformats.org/spreadsheetml/2006/main" count="57" uniqueCount="39">
  <si>
    <t>张龙</t>
    <rPh sb="0" eb="2">
      <t>jun</t>
    </rPh>
    <phoneticPr fontId="3" type="noConversion"/>
  </si>
  <si>
    <t>宁一</t>
    <rPh sb="0" eb="1">
      <t xml:space="preserve">  zhaojie</t>
    </rPh>
    <phoneticPr fontId="3" type="noConversion"/>
  </si>
  <si>
    <t>向勇</t>
    <phoneticPr fontId="3" type="noConversion"/>
  </si>
  <si>
    <t>李平</t>
    <phoneticPr fontId="4" type="noConversion"/>
  </si>
  <si>
    <t>张华</t>
    <phoneticPr fontId="3" type="noConversion"/>
  </si>
  <si>
    <t>李明</t>
    <phoneticPr fontId="3" type="noConversion"/>
  </si>
  <si>
    <t>刘平</t>
    <phoneticPr fontId="3" type="noConversion"/>
  </si>
  <si>
    <t>宁玉</t>
    <phoneticPr fontId="3" type="noConversion"/>
  </si>
  <si>
    <t>赵龙</t>
    <phoneticPr fontId="3" type="noConversion"/>
  </si>
  <si>
    <t>马军</t>
    <phoneticPr fontId="3" type="noConversion"/>
  </si>
  <si>
    <t>刘力</t>
    <phoneticPr fontId="3" type="noConversion"/>
  </si>
  <si>
    <t>李博</t>
    <phoneticPr fontId="3" type="noConversion"/>
  </si>
  <si>
    <t>王芳</t>
    <phoneticPr fontId="1" type="noConversion"/>
  </si>
  <si>
    <t>测试1</t>
    <phoneticPr fontId="3" type="noConversion"/>
  </si>
  <si>
    <t>测试2</t>
  </si>
  <si>
    <t>测试3</t>
  </si>
  <si>
    <t>测试4</t>
  </si>
  <si>
    <t>家庭作业</t>
  </si>
  <si>
    <t>差</t>
  </si>
  <si>
    <t>好</t>
  </si>
  <si>
    <t>王林</t>
    <phoneticPr fontId="3" type="noConversion"/>
  </si>
  <si>
    <t>分数段</t>
    <phoneticPr fontId="3" type="noConversion"/>
  </si>
  <si>
    <t>等级</t>
    <phoneticPr fontId="3" type="noConversion"/>
  </si>
  <si>
    <t>不及格</t>
    <phoneticPr fontId="3" type="noConversion"/>
  </si>
  <si>
    <t>及格</t>
    <phoneticPr fontId="3" type="noConversion"/>
  </si>
  <si>
    <t>中等</t>
    <phoneticPr fontId="3" type="noConversion"/>
  </si>
  <si>
    <t>优秀</t>
    <phoneticPr fontId="3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</si>
  <si>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" type="noConversion"/>
  </si>
  <si>
    <t>姓名</t>
    <phoneticPr fontId="3" type="noConversion"/>
  </si>
  <si>
    <t>良好</t>
    <phoneticPr fontId="3" type="noConversion"/>
  </si>
  <si>
    <t>测试平均分</t>
    <phoneticPr fontId="3" type="noConversion"/>
  </si>
  <si>
    <t>学期总评</t>
    <phoneticPr fontId="3" type="noConversion"/>
  </si>
  <si>
    <t>作业加分</t>
    <phoneticPr fontId="3" type="noConversion"/>
  </si>
  <si>
    <t>成绩排名</t>
    <phoneticPr fontId="3" type="noConversion"/>
  </si>
  <si>
    <t>最终等级</t>
    <phoneticPr fontId="3" type="noConversion"/>
  </si>
  <si>
    <t>《计算机文化基础》成绩测算</t>
    <phoneticPr fontId="3" type="noConversion"/>
  </si>
  <si>
    <t>10432201**</t>
  </si>
  <si>
    <t>统计结果：</t>
    <phoneticPr fontId="3" type="noConversion"/>
  </si>
  <si>
    <t>人数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</si>
</sst>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b/>
      <sz val="9"/>
      <color indexed="52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color rgb="FF0070C0"/>
      <name val="宋体"/>
      <family val="3"/>
      <charset val="134"/>
      <scheme val="minor"/>
    </font>
    <font>
      <sz val="11"/>
      <color rgb="FF7030A0"/>
      <name val="宋体"/>
      <family val="2"/>
      <charset val="134"/>
      <scheme val="minor"/>
    </font>
    <font>
      <sz val="11"/>
      <color rgb="FF7030A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2" fillId="0" borderId="1" xfId="1" applyFont="1" applyFill="1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7" fillId="0" borderId="0" xfId="0" applyNumberFormat="1" applyFont="1">
      <alignment vertical="center"/>
    </xf>
    <xf numFmtId="0" fontId="8" fillId="0" borderId="0" xfId="0" applyFont="1">
      <alignment vertical="center"/>
    </xf>
  </cellXfs>
  <cellStyles count="2">
    <cellStyle name="常规" xfId="0" builtinId="0"/>
    <cellStyle name="常规 2" xfId="1" xr:uid="{00000000-0005-0000-0000-000001000000}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76" formatCode="0.0_ 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>
                <a:solidFill>
                  <a:srgbClr val="C00000"/>
                </a:solidFill>
              </a:rPr>
              <a:t>成绩等级分布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学生成绩测算表!$D$21</c:f>
              <c:strCache>
                <c:ptCount val="1"/>
                <c:pt idx="0">
                  <c:v>人数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学生成绩测算表!$C$22:$C$26</c:f>
              <c:strCache>
                <c:ptCount val="5"/>
                <c:pt idx="0">
                  <c:v>优秀</c:v>
                </c:pt>
                <c:pt idx="1">
                  <c:v>良好</c:v>
                </c:pt>
                <c:pt idx="2">
                  <c:v>中等</c:v>
                </c:pt>
                <c:pt idx="3">
                  <c:v>及格</c:v>
                </c:pt>
                <c:pt idx="4">
                  <c:v>不及格</c:v>
                </c:pt>
              </c:strCache>
            </c:strRef>
          </c:cat>
          <c:val>
            <c:numRef>
              <c:f>学生成绩测算表!$D$22:$D$26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47-4205-BA90-E9BF6A05B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00B0F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18</xdr:row>
      <xdr:rowOff>175260</xdr:rowOff>
    </xdr:from>
    <xdr:to>
      <xdr:col>11</xdr:col>
      <xdr:colOff>7620</xdr:colOff>
      <xdr:row>32</xdr:row>
      <xdr:rowOff>22860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D709C8D-811E-A685-90E3-22462AE35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B3:K17" totalsRowShown="0" headerRowDxfId="1" dataDxfId="0">
  <tableColumns count="10">
    <tableColumn id="1" xr3:uid="{00000000-0010-0000-0000-000001000000}" name="姓名" dataDxfId="11"/>
    <tableColumn id="2" xr3:uid="{00000000-0010-0000-0000-000002000000}" name="测试1" dataDxfId="10"/>
    <tableColumn id="3" xr3:uid="{00000000-0010-0000-0000-000003000000}" name="测试2" dataDxfId="9"/>
    <tableColumn id="4" xr3:uid="{00000000-0010-0000-0000-000004000000}" name="测试3" dataDxfId="8"/>
    <tableColumn id="5" xr3:uid="{00000000-0010-0000-0000-000005000000}" name="测试4" dataDxfId="7"/>
    <tableColumn id="10" xr3:uid="{245A57C7-5ADD-46F4-AB83-DE4AED1D6CBB}" name="测试平均分" dataDxfId="6">
      <calculatedColumnFormula>AVERAGE(C4:F4)</calculatedColumnFormula>
    </tableColumn>
    <tableColumn id="7" xr3:uid="{00000000-0010-0000-0000-000007000000}" name="家庭作业" dataDxfId="5"/>
    <tableColumn id="11" xr3:uid="{9EB6BDD3-F538-4051-92C0-20B519626B0B}" name="学期总评" dataDxfId="4">
      <calculatedColumnFormula>IF(H4="好",G4+$H$19,G4)</calculatedColumnFormula>
    </tableColumn>
    <tableColumn id="12" xr3:uid="{699F87C1-3D92-4E0C-B483-C77DFAA1659F}" name="成绩排名" dataDxfId="3">
      <calculatedColumnFormula>_xlfn.RANK.EQ(I4,$I$4:$I$17,0)</calculatedColumnFormula>
    </tableColumn>
    <tableColumn id="13" xr3:uid="{CFACA101-B1A1-49D0-9221-776053B5B2F7}" name="最终等级" dataDxfId="2">
      <calculatedColumnFormula>VLOOKUP(I4,等级标准!$A$2:$B$6,2)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A7" workbookViewId="0">
      <selection activeCell="C21" sqref="C21:D26"/>
    </sheetView>
  </sheetViews>
  <sheetFormatPr defaultRowHeight="14.4" x14ac:dyDescent="0.25"/>
  <cols>
    <col min="1" max="2" width="11.6640625" bestFit="1" customWidth="1"/>
    <col min="3" max="6" width="7.44140625" customWidth="1"/>
    <col min="7" max="7" width="11.6640625" bestFit="1" customWidth="1"/>
    <col min="8" max="8" width="10.21875" customWidth="1"/>
  </cols>
  <sheetData>
    <row r="1" spans="1:11" x14ac:dyDescent="0.25">
      <c r="A1" s="7">
        <f ca="1">TODAY()</f>
        <v>44863</v>
      </c>
      <c r="B1" s="4" t="s">
        <v>35</v>
      </c>
      <c r="C1" s="4"/>
      <c r="D1" s="4"/>
      <c r="E1" s="4"/>
      <c r="F1" s="4"/>
      <c r="G1" s="4"/>
      <c r="H1" s="4"/>
      <c r="I1" s="4"/>
      <c r="J1" s="4"/>
      <c r="K1" s="4"/>
    </row>
    <row r="3" spans="1:11" x14ac:dyDescent="0.25">
      <c r="B3" s="3" t="s">
        <v>28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30</v>
      </c>
      <c r="H3" s="3" t="s">
        <v>17</v>
      </c>
      <c r="I3" s="3" t="s">
        <v>31</v>
      </c>
      <c r="J3" s="3" t="s">
        <v>33</v>
      </c>
      <c r="K3" s="3" t="s">
        <v>34</v>
      </c>
    </row>
    <row r="4" spans="1:11" x14ac:dyDescent="0.25">
      <c r="B4" s="3" t="s">
        <v>20</v>
      </c>
      <c r="C4" s="3">
        <v>80</v>
      </c>
      <c r="D4" s="3">
        <v>71</v>
      </c>
      <c r="E4" s="3">
        <v>70</v>
      </c>
      <c r="F4" s="3">
        <v>84</v>
      </c>
      <c r="G4" s="5">
        <f t="shared" ref="G4:G17" si="0">AVERAGE(C4:F4)</f>
        <v>76.25</v>
      </c>
      <c r="H4" s="3" t="s">
        <v>18</v>
      </c>
      <c r="I4" s="5">
        <f t="shared" ref="I4:I17" si="1">IF(H4="好",G4+$H$19,G4)</f>
        <v>76.25</v>
      </c>
      <c r="J4" s="3">
        <f t="shared" ref="J4:J17" si="2">_xlfn.RANK.EQ(I4,$I$4:$I$17,0)</f>
        <v>11</v>
      </c>
      <c r="K4" s="3" t="str">
        <f>VLOOKUP(I4,等级标准!$A$2:$B$6,2)</f>
        <v>中等</v>
      </c>
    </row>
    <row r="5" spans="1:11" x14ac:dyDescent="0.25">
      <c r="B5" s="3" t="s">
        <v>0</v>
      </c>
      <c r="C5" s="3">
        <v>96</v>
      </c>
      <c r="D5" s="3">
        <v>98</v>
      </c>
      <c r="E5" s="3">
        <v>97</v>
      </c>
      <c r="F5" s="3">
        <v>90</v>
      </c>
      <c r="G5" s="5">
        <f t="shared" si="0"/>
        <v>95.25</v>
      </c>
      <c r="H5" s="3" t="s">
        <v>19</v>
      </c>
      <c r="I5" s="5">
        <f t="shared" si="1"/>
        <v>98.25</v>
      </c>
      <c r="J5" s="3">
        <f t="shared" si="2"/>
        <v>1</v>
      </c>
      <c r="K5" s="3" t="str">
        <f>VLOOKUP(I5,等级标准!$A$2:$B$6,2)</f>
        <v>优秀</v>
      </c>
    </row>
    <row r="6" spans="1:11" x14ac:dyDescent="0.25">
      <c r="B6" s="3" t="s">
        <v>1</v>
      </c>
      <c r="C6" s="3">
        <v>78</v>
      </c>
      <c r="D6" s="3">
        <v>81</v>
      </c>
      <c r="E6" s="3">
        <v>70</v>
      </c>
      <c r="F6" s="3">
        <v>78</v>
      </c>
      <c r="G6" s="5">
        <f t="shared" si="0"/>
        <v>76.75</v>
      </c>
      <c r="H6" s="3" t="s">
        <v>19</v>
      </c>
      <c r="I6" s="5">
        <f t="shared" si="1"/>
        <v>79.75</v>
      </c>
      <c r="J6" s="3">
        <f t="shared" si="2"/>
        <v>7</v>
      </c>
      <c r="K6" s="3" t="str">
        <f>VLOOKUP(I6,等级标准!$A$2:$B$6,2)</f>
        <v>中等</v>
      </c>
    </row>
    <row r="7" spans="1:11" x14ac:dyDescent="0.25">
      <c r="B7" s="3" t="s">
        <v>2</v>
      </c>
      <c r="C7" s="3">
        <v>65</v>
      </c>
      <c r="D7" s="3">
        <v>65</v>
      </c>
      <c r="E7" s="3">
        <v>65</v>
      </c>
      <c r="F7" s="3">
        <v>60</v>
      </c>
      <c r="G7" s="5">
        <f t="shared" si="0"/>
        <v>63.75</v>
      </c>
      <c r="H7" s="3" t="s">
        <v>19</v>
      </c>
      <c r="I7" s="5">
        <f t="shared" si="1"/>
        <v>66.75</v>
      </c>
      <c r="J7" s="3">
        <f t="shared" si="2"/>
        <v>12</v>
      </c>
      <c r="K7" s="3" t="str">
        <f>VLOOKUP(I7,等级标准!$A$2:$B$6,2)</f>
        <v>及格</v>
      </c>
    </row>
    <row r="8" spans="1:11" x14ac:dyDescent="0.25">
      <c r="B8" s="3" t="s">
        <v>3</v>
      </c>
      <c r="C8" s="3">
        <v>92</v>
      </c>
      <c r="D8" s="3">
        <v>95</v>
      </c>
      <c r="E8" s="3">
        <v>79</v>
      </c>
      <c r="F8" s="3">
        <v>80</v>
      </c>
      <c r="G8" s="5">
        <f t="shared" si="0"/>
        <v>86.5</v>
      </c>
      <c r="H8" s="3" t="s">
        <v>19</v>
      </c>
      <c r="I8" s="5">
        <f t="shared" si="1"/>
        <v>89.5</v>
      </c>
      <c r="J8" s="3">
        <f t="shared" si="2"/>
        <v>3</v>
      </c>
      <c r="K8" s="3" t="str">
        <f>VLOOKUP(I8,等级标准!$A$2:$B$6,2)</f>
        <v>良好</v>
      </c>
    </row>
    <row r="9" spans="1:11" x14ac:dyDescent="0.25">
      <c r="B9" s="3" t="s">
        <v>4</v>
      </c>
      <c r="C9" s="3">
        <v>90</v>
      </c>
      <c r="D9" s="3">
        <v>90</v>
      </c>
      <c r="E9" s="3">
        <v>90</v>
      </c>
      <c r="F9" s="3">
        <v>70</v>
      </c>
      <c r="G9" s="5">
        <f t="shared" si="0"/>
        <v>85</v>
      </c>
      <c r="H9" s="3" t="s">
        <v>19</v>
      </c>
      <c r="I9" s="5">
        <f t="shared" si="1"/>
        <v>88</v>
      </c>
      <c r="J9" s="3">
        <f t="shared" si="2"/>
        <v>4</v>
      </c>
      <c r="K9" s="3" t="str">
        <f>VLOOKUP(I9,等级标准!$A$2:$B$6,2)</f>
        <v>良好</v>
      </c>
    </row>
    <row r="10" spans="1:11" x14ac:dyDescent="0.25">
      <c r="B10" s="3" t="s">
        <v>5</v>
      </c>
      <c r="C10" s="3">
        <v>60</v>
      </c>
      <c r="D10" s="3">
        <v>50</v>
      </c>
      <c r="E10" s="3">
        <v>40</v>
      </c>
      <c r="F10" s="3">
        <v>79</v>
      </c>
      <c r="G10" s="5">
        <f t="shared" si="0"/>
        <v>57.25</v>
      </c>
      <c r="H10" s="3" t="s">
        <v>19</v>
      </c>
      <c r="I10" s="5">
        <f t="shared" si="1"/>
        <v>60.25</v>
      </c>
      <c r="J10" s="3">
        <f t="shared" si="2"/>
        <v>14</v>
      </c>
      <c r="K10" s="3" t="str">
        <f>VLOOKUP(I10,等级标准!$A$2:$B$6,2)</f>
        <v>及格</v>
      </c>
    </row>
    <row r="11" spans="1:11" x14ac:dyDescent="0.25">
      <c r="B11" s="3" t="s">
        <v>6</v>
      </c>
      <c r="C11" s="3">
        <v>75</v>
      </c>
      <c r="D11" s="3">
        <v>70</v>
      </c>
      <c r="E11" s="3">
        <v>65</v>
      </c>
      <c r="F11" s="3">
        <v>95</v>
      </c>
      <c r="G11" s="5">
        <f t="shared" si="0"/>
        <v>76.25</v>
      </c>
      <c r="H11" s="3" t="s">
        <v>19</v>
      </c>
      <c r="I11" s="5">
        <f t="shared" si="1"/>
        <v>79.25</v>
      </c>
      <c r="J11" s="3">
        <f t="shared" si="2"/>
        <v>8</v>
      </c>
      <c r="K11" s="3" t="str">
        <f>VLOOKUP(I11,等级标准!$A$2:$B$6,2)</f>
        <v>中等</v>
      </c>
    </row>
    <row r="12" spans="1:11" x14ac:dyDescent="0.25">
      <c r="B12" s="3" t="s">
        <v>7</v>
      </c>
      <c r="C12" s="3">
        <v>90</v>
      </c>
      <c r="D12" s="3">
        <v>90</v>
      </c>
      <c r="E12" s="3">
        <v>80</v>
      </c>
      <c r="F12" s="3">
        <v>90</v>
      </c>
      <c r="G12" s="5">
        <f t="shared" si="0"/>
        <v>87.5</v>
      </c>
      <c r="H12" s="3" t="s">
        <v>18</v>
      </c>
      <c r="I12" s="5">
        <f t="shared" si="1"/>
        <v>87.5</v>
      </c>
      <c r="J12" s="3">
        <f t="shared" si="2"/>
        <v>5</v>
      </c>
      <c r="K12" s="3" t="str">
        <f>VLOOKUP(I12,等级标准!$A$2:$B$6,2)</f>
        <v>良好</v>
      </c>
    </row>
    <row r="13" spans="1:11" x14ac:dyDescent="0.25">
      <c r="B13" s="3" t="s">
        <v>8</v>
      </c>
      <c r="C13" s="3">
        <v>82</v>
      </c>
      <c r="D13" s="3">
        <v>78</v>
      </c>
      <c r="E13" s="3">
        <v>62</v>
      </c>
      <c r="F13" s="3">
        <v>77</v>
      </c>
      <c r="G13" s="5">
        <f t="shared" si="0"/>
        <v>74.75</v>
      </c>
      <c r="H13" s="3" t="s">
        <v>19</v>
      </c>
      <c r="I13" s="5">
        <f t="shared" si="1"/>
        <v>77.75</v>
      </c>
      <c r="J13" s="3">
        <f t="shared" si="2"/>
        <v>10</v>
      </c>
      <c r="K13" s="3" t="str">
        <f>VLOOKUP(I13,等级标准!$A$2:$B$6,2)</f>
        <v>中等</v>
      </c>
    </row>
    <row r="14" spans="1:11" x14ac:dyDescent="0.25">
      <c r="B14" s="3" t="s">
        <v>9</v>
      </c>
      <c r="C14" s="3">
        <v>92</v>
      </c>
      <c r="D14" s="3">
        <v>88</v>
      </c>
      <c r="E14" s="3">
        <v>65</v>
      </c>
      <c r="F14" s="3">
        <v>78</v>
      </c>
      <c r="G14" s="5">
        <f t="shared" si="0"/>
        <v>80.75</v>
      </c>
      <c r="H14" s="3" t="s">
        <v>19</v>
      </c>
      <c r="I14" s="5">
        <f t="shared" si="1"/>
        <v>83.75</v>
      </c>
      <c r="J14" s="3">
        <f t="shared" si="2"/>
        <v>6</v>
      </c>
      <c r="K14" s="3" t="str">
        <f>VLOOKUP(I14,等级标准!$A$2:$B$6,2)</f>
        <v>良好</v>
      </c>
    </row>
    <row r="15" spans="1:11" x14ac:dyDescent="0.25">
      <c r="B15" s="3" t="s">
        <v>10</v>
      </c>
      <c r="C15" s="3">
        <v>94</v>
      </c>
      <c r="D15" s="3">
        <v>92</v>
      </c>
      <c r="E15" s="3">
        <v>86</v>
      </c>
      <c r="F15" s="3">
        <v>84</v>
      </c>
      <c r="G15" s="5">
        <f t="shared" si="0"/>
        <v>89</v>
      </c>
      <c r="H15" s="3" t="s">
        <v>19</v>
      </c>
      <c r="I15" s="5">
        <f t="shared" si="1"/>
        <v>92</v>
      </c>
      <c r="J15" s="3">
        <f t="shared" si="2"/>
        <v>2</v>
      </c>
      <c r="K15" s="3" t="str">
        <f>VLOOKUP(I15,等级标准!$A$2:$B$6,2)</f>
        <v>优秀</v>
      </c>
    </row>
    <row r="16" spans="1:11" x14ac:dyDescent="0.25">
      <c r="B16" s="3" t="s">
        <v>11</v>
      </c>
      <c r="C16" s="3">
        <v>92</v>
      </c>
      <c r="D16" s="3">
        <v>78</v>
      </c>
      <c r="E16" s="3">
        <v>65</v>
      </c>
      <c r="F16" s="3">
        <v>82</v>
      </c>
      <c r="G16" s="5">
        <f t="shared" si="0"/>
        <v>79.25</v>
      </c>
      <c r="H16" s="3" t="s">
        <v>18</v>
      </c>
      <c r="I16" s="5">
        <f t="shared" si="1"/>
        <v>79.25</v>
      </c>
      <c r="J16" s="3">
        <f t="shared" si="2"/>
        <v>8</v>
      </c>
      <c r="K16" s="3" t="str">
        <f>VLOOKUP(I16,等级标准!$A$2:$B$6,2)</f>
        <v>中等</v>
      </c>
    </row>
    <row r="17" spans="1:11" x14ac:dyDescent="0.25">
      <c r="B17" s="3" t="s">
        <v>12</v>
      </c>
      <c r="C17" s="3">
        <v>60</v>
      </c>
      <c r="D17" s="3">
        <v>50</v>
      </c>
      <c r="E17" s="3">
        <v>65</v>
      </c>
      <c r="F17" s="3">
        <v>80</v>
      </c>
      <c r="G17" s="5">
        <f t="shared" si="0"/>
        <v>63.75</v>
      </c>
      <c r="H17" s="3" t="s">
        <v>18</v>
      </c>
      <c r="I17" s="5">
        <f t="shared" si="1"/>
        <v>63.75</v>
      </c>
      <c r="J17" s="3">
        <f t="shared" si="2"/>
        <v>13</v>
      </c>
      <c r="K17" s="3" t="str">
        <f>VLOOKUP(I17,等级标准!$A$2:$B$6,2)</f>
        <v>及格</v>
      </c>
    </row>
    <row r="19" spans="1:11" x14ac:dyDescent="0.25">
      <c r="A19" s="8" t="s">
        <v>36</v>
      </c>
      <c r="G19" s="6" t="s">
        <v>32</v>
      </c>
      <c r="H19" s="6">
        <v>3</v>
      </c>
    </row>
    <row r="21" spans="1:11" x14ac:dyDescent="0.25">
      <c r="B21" t="s">
        <v>37</v>
      </c>
      <c r="C21" t="s">
        <v>22</v>
      </c>
      <c r="D21" t="s">
        <v>38</v>
      </c>
    </row>
    <row r="22" spans="1:11" x14ac:dyDescent="0.25">
      <c r="C22" t="s">
        <v>26</v>
      </c>
      <c r="D22">
        <f>COUNTIF($K$4:$K$17,C22)</f>
        <v>2</v>
      </c>
    </row>
    <row r="23" spans="1:11" x14ac:dyDescent="0.25">
      <c r="C23" t="s">
        <v>29</v>
      </c>
      <c r="D23">
        <f t="shared" ref="D23:D26" si="3">COUNTIF($K$4:$K$17,C23)</f>
        <v>4</v>
      </c>
    </row>
    <row r="24" spans="1:11" x14ac:dyDescent="0.25">
      <c r="C24" t="s">
        <v>25</v>
      </c>
      <c r="D24">
        <f t="shared" si="3"/>
        <v>5</v>
      </c>
      <c r="K24" t="s">
        <v>27</v>
      </c>
    </row>
    <row r="25" spans="1:11" x14ac:dyDescent="0.25">
      <c r="C25" t="s">
        <v>24</v>
      </c>
      <c r="D25">
        <f t="shared" si="3"/>
        <v>3</v>
      </c>
    </row>
    <row r="26" spans="1:11" x14ac:dyDescent="0.25">
      <c r="C26" t="s">
        <v>23</v>
      </c>
      <c r="D26">
        <f t="shared" si="3"/>
        <v>0</v>
      </c>
    </row>
  </sheetData>
  <mergeCells count="1">
    <mergeCell ref="B1:K1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G4" sqref="G4"/>
    </sheetView>
  </sheetViews>
  <sheetFormatPr defaultRowHeight="14.4" x14ac:dyDescent="0.25"/>
  <sheetData>
    <row r="1" spans="1:2" x14ac:dyDescent="0.15">
      <c r="A1" s="1" t="s">
        <v>21</v>
      </c>
      <c r="B1" s="1" t="s">
        <v>22</v>
      </c>
    </row>
    <row r="2" spans="1:2" x14ac:dyDescent="0.25">
      <c r="A2" s="2">
        <v>0</v>
      </c>
      <c r="B2" s="1" t="s">
        <v>23</v>
      </c>
    </row>
    <row r="3" spans="1:2" x14ac:dyDescent="0.25">
      <c r="A3" s="2">
        <v>60</v>
      </c>
      <c r="B3" s="1" t="s">
        <v>24</v>
      </c>
    </row>
    <row r="4" spans="1:2" x14ac:dyDescent="0.25">
      <c r="A4" s="2">
        <v>70</v>
      </c>
      <c r="B4" s="1" t="s">
        <v>25</v>
      </c>
    </row>
    <row r="5" spans="1:2" x14ac:dyDescent="0.25">
      <c r="A5" s="2">
        <v>80</v>
      </c>
      <c r="B5" s="1" t="s">
        <v>29</v>
      </c>
    </row>
    <row r="6" spans="1:2" x14ac:dyDescent="0.25">
      <c r="A6" s="2">
        <v>90</v>
      </c>
      <c r="B6" s="1" t="s">
        <v>26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学生成绩测算表</vt:lpstr>
      <vt:lpstr>等级标准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32610</cp:lastModifiedBy>
  <dcterms:created xsi:type="dcterms:W3CDTF">2013-06-23T07:35:17Z</dcterms:created>
  <dcterms:modified xsi:type="dcterms:W3CDTF">2022-10-29T00:47:43Z</dcterms:modified>
</cp:coreProperties>
</file>