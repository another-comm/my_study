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2610\Desktop\10432201-成绩分析表\"/>
    </mc:Choice>
  </mc:AlternateContent>
  <xr:revisionPtr revIDLastSave="0" documentId="13_ncr:1_{BB8DA58C-BE29-457B-B5B2-3261266D013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考试成绩统计表" sheetId="2" r:id="rId1"/>
    <sheet name="成绩分析" sheetId="3" r:id="rId2"/>
  </sheets>
  <definedNames>
    <definedName name="_xlnm._FilterDatabase" localSheetId="1" hidden="1">成绩分析!$A$3:$F$12</definedName>
    <definedName name="_xlnm._FilterDatabase" localSheetId="0" hidden="1">考试成绩统计表!$A$3:$F$11</definedName>
    <definedName name="_xlnm.Criteria" localSheetId="1">成绩分析!$A$18:$B$20</definedName>
    <definedName name="_xlnm.Extract" localSheetId="1">成绩分析!$H$3:$M$12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3" l="1"/>
  <c r="C13" i="3"/>
  <c r="D7" i="3"/>
  <c r="D14" i="3" s="1"/>
  <c r="C7" i="3"/>
  <c r="C14" i="3" s="1"/>
  <c r="E12" i="3"/>
  <c r="E11" i="3"/>
  <c r="E10" i="3"/>
  <c r="E6" i="3"/>
  <c r="E9" i="3"/>
  <c r="E8" i="3"/>
  <c r="E5" i="3"/>
  <c r="E4" i="3"/>
  <c r="E10" i="2"/>
  <c r="E5" i="2"/>
  <c r="E6" i="2"/>
  <c r="E7" i="2"/>
  <c r="E4" i="2"/>
  <c r="E9" i="2"/>
  <c r="E8" i="2"/>
  <c r="E11" i="2"/>
</calcChain>
</file>

<file path=xl/sharedStrings.xml><?xml version="1.0" encoding="utf-8"?>
<sst xmlns="http://schemas.openxmlformats.org/spreadsheetml/2006/main" count="72" uniqueCount="26">
  <si>
    <t>数学</t>
    <phoneticPr fontId="2" type="noConversion"/>
  </si>
  <si>
    <t>语文</t>
    <phoneticPr fontId="2" type="noConversion"/>
  </si>
  <si>
    <t>性别</t>
    <phoneticPr fontId="2" type="noConversion"/>
  </si>
  <si>
    <t>姓名</t>
  </si>
  <si>
    <t>男</t>
    <phoneticPr fontId="2" type="noConversion"/>
  </si>
  <si>
    <t>吴冰冰</t>
    <phoneticPr fontId="2" type="noConversion"/>
  </si>
  <si>
    <t>张华</t>
    <phoneticPr fontId="2" type="noConversion"/>
  </si>
  <si>
    <t>女</t>
    <phoneticPr fontId="2" type="noConversion"/>
  </si>
  <si>
    <t>李伟</t>
    <phoneticPr fontId="2" type="noConversion"/>
  </si>
  <si>
    <t>展昭</t>
    <phoneticPr fontId="2" type="noConversion"/>
  </si>
  <si>
    <t>程丽丽</t>
    <phoneticPr fontId="2" type="noConversion"/>
  </si>
  <si>
    <t>王一民</t>
    <phoneticPr fontId="2" type="noConversion"/>
  </si>
  <si>
    <t>马军</t>
    <phoneticPr fontId="2" type="noConversion"/>
  </si>
  <si>
    <t>柳萍</t>
    <phoneticPr fontId="2" type="noConversion"/>
  </si>
  <si>
    <t>总分</t>
    <phoneticPr fontId="1" type="noConversion"/>
  </si>
  <si>
    <t>名次</t>
    <phoneticPr fontId="1" type="noConversion"/>
  </si>
  <si>
    <t>考试成绩统计表</t>
    <phoneticPr fontId="1" type="noConversion"/>
  </si>
  <si>
    <t>性别</t>
    <phoneticPr fontId="1" type="noConversion"/>
  </si>
  <si>
    <t>女</t>
    <phoneticPr fontId="1" type="noConversion"/>
  </si>
  <si>
    <t>&gt;160</t>
    <phoneticPr fontId="1" type="noConversion"/>
  </si>
  <si>
    <t>男</t>
    <phoneticPr fontId="1" type="noConversion"/>
  </si>
  <si>
    <t>&gt;150</t>
    <phoneticPr fontId="1" type="noConversion"/>
  </si>
  <si>
    <t>筛选结果</t>
  </si>
  <si>
    <t>女 平均值</t>
  </si>
  <si>
    <t>男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</si>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</sst>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4"/>
      <color theme="1"/>
      <name val="隶书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B3" sqref="B3"/>
    </sheetView>
  </sheetViews>
  <sheetFormatPr defaultRowHeight="14.4" x14ac:dyDescent="0.25"/>
  <sheetData>
    <row r="1" spans="1:6" ht="15.6" x14ac:dyDescent="0.25">
      <c r="A1" s="1" t="s">
        <v>16</v>
      </c>
      <c r="B1" s="2"/>
      <c r="C1" s="2"/>
      <c r="D1" s="2"/>
      <c r="E1" s="2"/>
      <c r="F1" s="2"/>
    </row>
    <row r="3" spans="1:6" x14ac:dyDescent="0.25">
      <c r="A3" t="s">
        <v>3</v>
      </c>
      <c r="B3" t="s">
        <v>2</v>
      </c>
      <c r="C3" t="s">
        <v>1</v>
      </c>
      <c r="D3" t="s">
        <v>0</v>
      </c>
      <c r="E3" t="s">
        <v>14</v>
      </c>
      <c r="F3" t="s">
        <v>15</v>
      </c>
    </row>
    <row r="4" spans="1:6" x14ac:dyDescent="0.25">
      <c r="A4" t="s">
        <v>5</v>
      </c>
      <c r="B4" t="s">
        <v>7</v>
      </c>
      <c r="C4">
        <v>82</v>
      </c>
      <c r="D4">
        <v>90</v>
      </c>
      <c r="E4">
        <f>C4+D4</f>
        <v>172</v>
      </c>
      <c r="F4">
        <v>1</v>
      </c>
    </row>
    <row r="5" spans="1:6" x14ac:dyDescent="0.25">
      <c r="A5" t="s">
        <v>10</v>
      </c>
      <c r="B5" t="s">
        <v>7</v>
      </c>
      <c r="C5">
        <v>81</v>
      </c>
      <c r="D5">
        <v>91</v>
      </c>
      <c r="E5">
        <f>C5+D5</f>
        <v>172</v>
      </c>
      <c r="F5">
        <v>2</v>
      </c>
    </row>
    <row r="6" spans="1:6" x14ac:dyDescent="0.25">
      <c r="A6" t="s">
        <v>11</v>
      </c>
      <c r="B6" t="s">
        <v>4</v>
      </c>
      <c r="C6">
        <v>88</v>
      </c>
      <c r="D6">
        <v>81</v>
      </c>
      <c r="E6">
        <f>C6+D6</f>
        <v>169</v>
      </c>
      <c r="F6">
        <v>3</v>
      </c>
    </row>
    <row r="7" spans="1:6" x14ac:dyDescent="0.25">
      <c r="A7" t="s">
        <v>6</v>
      </c>
      <c r="B7" t="s">
        <v>4</v>
      </c>
      <c r="C7">
        <v>95</v>
      </c>
      <c r="D7">
        <v>70</v>
      </c>
      <c r="E7">
        <f>C7+D7</f>
        <v>165</v>
      </c>
      <c r="F7">
        <v>4</v>
      </c>
    </row>
    <row r="8" spans="1:6" x14ac:dyDescent="0.25">
      <c r="A8" t="s">
        <v>13</v>
      </c>
      <c r="B8" t="s">
        <v>7</v>
      </c>
      <c r="C8">
        <v>86</v>
      </c>
      <c r="D8">
        <v>78</v>
      </c>
      <c r="E8">
        <f>C8+D8</f>
        <v>164</v>
      </c>
      <c r="F8">
        <v>5</v>
      </c>
    </row>
    <row r="9" spans="1:6" x14ac:dyDescent="0.25">
      <c r="A9" t="s">
        <v>12</v>
      </c>
      <c r="B9" t="s">
        <v>4</v>
      </c>
      <c r="C9">
        <v>79</v>
      </c>
      <c r="D9">
        <v>81</v>
      </c>
      <c r="E9">
        <f>C9+D9</f>
        <v>160</v>
      </c>
      <c r="F9">
        <v>6</v>
      </c>
    </row>
    <row r="10" spans="1:6" x14ac:dyDescent="0.25">
      <c r="A10" t="s">
        <v>9</v>
      </c>
      <c r="B10" t="s">
        <v>4</v>
      </c>
      <c r="C10">
        <v>83</v>
      </c>
      <c r="D10">
        <v>73</v>
      </c>
      <c r="E10">
        <f>C10+D10</f>
        <v>156</v>
      </c>
      <c r="F10">
        <v>7</v>
      </c>
    </row>
    <row r="11" spans="1:6" x14ac:dyDescent="0.25">
      <c r="A11" t="s">
        <v>8</v>
      </c>
      <c r="B11" t="s">
        <v>4</v>
      </c>
      <c r="C11">
        <v>78</v>
      </c>
      <c r="D11">
        <v>75</v>
      </c>
      <c r="E11">
        <f>C11+D11</f>
        <v>153</v>
      </c>
      <c r="F11">
        <v>8</v>
      </c>
    </row>
  </sheetData>
  <autoFilter ref="A3:F11" xr:uid="{00000000-0001-0000-0000-000000000000}"/>
  <sortState xmlns:xlrd2="http://schemas.microsoft.com/office/spreadsheetml/2017/richdata2" ref="A4:E11">
    <sortCondition descending="1" ref="E4:E11"/>
    <sortCondition descending="1" ref="C4:C11"/>
  </sortState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1B74-1EDC-438D-98B1-FE64E5C69D89}">
  <dimension ref="A1:M20"/>
  <sheetViews>
    <sheetView tabSelected="1" workbookViewId="0">
      <selection activeCell="S7" sqref="S7"/>
    </sheetView>
  </sheetViews>
  <sheetFormatPr defaultRowHeight="14.4" outlineLevelRow="2" x14ac:dyDescent="0.25"/>
  <cols>
    <col min="1" max="1" width="7.5546875" bestFit="1" customWidth="1"/>
    <col min="2" max="2" width="12.33203125" bestFit="1" customWidth="1"/>
    <col min="3" max="3" width="5.5546875" bestFit="1" customWidth="1"/>
    <col min="4" max="4" width="12.77734375" bestFit="1" customWidth="1"/>
    <col min="5" max="6" width="5.5546875" bestFit="1" customWidth="1"/>
    <col min="8" max="8" width="7.5546875" bestFit="1" customWidth="1"/>
    <col min="9" max="13" width="5.5546875" bestFit="1" customWidth="1"/>
  </cols>
  <sheetData>
    <row r="1" spans="1:13" ht="17.399999999999999" x14ac:dyDescent="0.25">
      <c r="A1" s="1" t="s">
        <v>16</v>
      </c>
      <c r="B1" s="2"/>
      <c r="C1" s="2"/>
      <c r="D1" s="2"/>
      <c r="E1" s="2"/>
      <c r="F1" s="2"/>
      <c r="H1" s="3" t="s">
        <v>22</v>
      </c>
      <c r="I1" s="3"/>
      <c r="J1" s="3"/>
      <c r="K1" s="3"/>
      <c r="L1" s="3"/>
      <c r="M1" s="3"/>
    </row>
    <row r="3" spans="1:13" x14ac:dyDescent="0.25">
      <c r="A3" t="s">
        <v>3</v>
      </c>
      <c r="B3" t="s">
        <v>2</v>
      </c>
      <c r="C3" t="s">
        <v>1</v>
      </c>
      <c r="D3" t="s">
        <v>0</v>
      </c>
      <c r="E3" t="s">
        <v>14</v>
      </c>
      <c r="F3" t="s">
        <v>15</v>
      </c>
      <c r="H3" t="s">
        <v>3</v>
      </c>
      <c r="I3" t="s">
        <v>2</v>
      </c>
      <c r="J3" t="s">
        <v>1</v>
      </c>
      <c r="K3" t="s">
        <v>0</v>
      </c>
      <c r="L3" t="s">
        <v>14</v>
      </c>
      <c r="M3" t="s">
        <v>15</v>
      </c>
    </row>
    <row r="4" spans="1:13" outlineLevel="2" x14ac:dyDescent="0.25">
      <c r="A4" t="s">
        <v>5</v>
      </c>
      <c r="B4" t="s">
        <v>7</v>
      </c>
      <c r="C4">
        <v>82</v>
      </c>
      <c r="D4">
        <v>90</v>
      </c>
      <c r="E4">
        <f>C4+D4</f>
        <v>172</v>
      </c>
      <c r="F4">
        <v>1</v>
      </c>
      <c r="H4" t="s">
        <v>5</v>
      </c>
      <c r="I4" t="s">
        <v>7</v>
      </c>
      <c r="J4">
        <v>82</v>
      </c>
      <c r="K4">
        <v>90</v>
      </c>
      <c r="L4">
        <v>172</v>
      </c>
      <c r="M4">
        <v>1</v>
      </c>
    </row>
    <row r="5" spans="1:13" outlineLevel="2" x14ac:dyDescent="0.25">
      <c r="A5" t="s">
        <v>10</v>
      </c>
      <c r="B5" t="s">
        <v>7</v>
      </c>
      <c r="C5">
        <v>81</v>
      </c>
      <c r="D5">
        <v>91</v>
      </c>
      <c r="E5">
        <f>C5+D5</f>
        <v>172</v>
      </c>
      <c r="F5">
        <v>2</v>
      </c>
      <c r="H5" t="s">
        <v>10</v>
      </c>
      <c r="I5" t="s">
        <v>7</v>
      </c>
      <c r="J5">
        <v>81</v>
      </c>
      <c r="K5">
        <v>91</v>
      </c>
      <c r="L5">
        <v>172</v>
      </c>
      <c r="M5">
        <v>2</v>
      </c>
    </row>
    <row r="6" spans="1:13" outlineLevel="2" x14ac:dyDescent="0.25">
      <c r="A6" t="s">
        <v>13</v>
      </c>
      <c r="B6" t="s">
        <v>7</v>
      </c>
      <c r="C6">
        <v>86</v>
      </c>
      <c r="D6">
        <v>78</v>
      </c>
      <c r="E6">
        <f>C6+D6</f>
        <v>164</v>
      </c>
      <c r="F6">
        <v>5</v>
      </c>
      <c r="H6" t="s">
        <v>11</v>
      </c>
      <c r="I6" t="s">
        <v>4</v>
      </c>
      <c r="J6">
        <v>88</v>
      </c>
      <c r="K6">
        <v>81</v>
      </c>
      <c r="L6">
        <v>169</v>
      </c>
      <c r="M6">
        <v>3</v>
      </c>
    </row>
    <row r="7" spans="1:13" outlineLevel="1" x14ac:dyDescent="0.25">
      <c r="B7" s="4" t="s">
        <v>23</v>
      </c>
      <c r="C7">
        <f>SUBTOTAL(1,C4:C6)</f>
        <v>83</v>
      </c>
      <c r="D7">
        <f>SUBTOTAL(1,D4:D6)</f>
        <v>86.333333333333329</v>
      </c>
    </row>
    <row r="8" spans="1:13" outlineLevel="2" x14ac:dyDescent="0.25">
      <c r="A8" t="s">
        <v>11</v>
      </c>
      <c r="B8" t="s">
        <v>4</v>
      </c>
      <c r="C8">
        <v>88</v>
      </c>
      <c r="D8">
        <v>81</v>
      </c>
      <c r="E8">
        <f>C8+D8</f>
        <v>169</v>
      </c>
      <c r="F8">
        <v>3</v>
      </c>
      <c r="H8" t="s">
        <v>6</v>
      </c>
      <c r="I8" t="s">
        <v>4</v>
      </c>
      <c r="J8">
        <v>95</v>
      </c>
      <c r="K8">
        <v>70</v>
      </c>
      <c r="L8">
        <v>165</v>
      </c>
      <c r="M8">
        <v>4</v>
      </c>
    </row>
    <row r="9" spans="1:13" outlineLevel="2" x14ac:dyDescent="0.25">
      <c r="A9" t="s">
        <v>6</v>
      </c>
      <c r="B9" t="s">
        <v>4</v>
      </c>
      <c r="C9">
        <v>95</v>
      </c>
      <c r="D9">
        <v>70</v>
      </c>
      <c r="E9">
        <f>C9+D9</f>
        <v>165</v>
      </c>
      <c r="F9">
        <v>4</v>
      </c>
      <c r="H9" t="s">
        <v>13</v>
      </c>
      <c r="I9" t="s">
        <v>7</v>
      </c>
      <c r="J9">
        <v>86</v>
      </c>
      <c r="K9">
        <v>78</v>
      </c>
      <c r="L9">
        <v>164</v>
      </c>
      <c r="M9">
        <v>5</v>
      </c>
    </row>
    <row r="10" spans="1:13" outlineLevel="2" x14ac:dyDescent="0.25">
      <c r="A10" t="s">
        <v>12</v>
      </c>
      <c r="B10" t="s">
        <v>4</v>
      </c>
      <c r="C10">
        <v>79</v>
      </c>
      <c r="D10">
        <v>81</v>
      </c>
      <c r="E10">
        <f>C10+D10</f>
        <v>160</v>
      </c>
      <c r="F10">
        <v>6</v>
      </c>
    </row>
    <row r="11" spans="1:13" outlineLevel="2" x14ac:dyDescent="0.25">
      <c r="A11" t="s">
        <v>9</v>
      </c>
      <c r="B11" t="s">
        <v>4</v>
      </c>
      <c r="C11">
        <v>83</v>
      </c>
      <c r="D11">
        <v>73</v>
      </c>
      <c r="E11">
        <f>C11+D11</f>
        <v>156</v>
      </c>
      <c r="F11">
        <v>7</v>
      </c>
    </row>
    <row r="12" spans="1:13" outlineLevel="2" x14ac:dyDescent="0.25">
      <c r="A12" t="s">
        <v>8</v>
      </c>
      <c r="B12" t="s">
        <v>4</v>
      </c>
      <c r="C12">
        <v>78</v>
      </c>
      <c r="D12">
        <v>75</v>
      </c>
      <c r="E12">
        <f>C12+D12</f>
        <v>153</v>
      </c>
      <c r="F12">
        <v>8</v>
      </c>
    </row>
    <row r="13" spans="1:13" outlineLevel="1" x14ac:dyDescent="0.25">
      <c r="B13" s="4" t="s">
        <v>24</v>
      </c>
      <c r="C13">
        <f>SUBTOTAL(1,C8:C12)</f>
        <v>84.6</v>
      </c>
      <c r="D13">
        <f>SUBTOTAL(1,D8:D12)</f>
        <v>76</v>
      </c>
    </row>
    <row r="14" spans="1:13" x14ac:dyDescent="0.25">
      <c r="B14" s="4" t="s">
        <v>25</v>
      </c>
      <c r="C14">
        <f>SUBTOTAL(1,C4:C12)</f>
        <v>84</v>
      </c>
      <c r="D14">
        <f>SUBTOTAL(1,D4:D12)</f>
        <v>79.875</v>
      </c>
    </row>
    <row r="18" spans="1:2" x14ac:dyDescent="0.25">
      <c r="A18" t="s">
        <v>17</v>
      </c>
      <c r="B18" t="s">
        <v>14</v>
      </c>
    </row>
    <row r="19" spans="1:2" x14ac:dyDescent="0.25">
      <c r="A19" t="s">
        <v>18</v>
      </c>
      <c r="B19" t="s">
        <v>21</v>
      </c>
    </row>
    <row r="20" spans="1:2" x14ac:dyDescent="0.25">
      <c r="A20" t="s">
        <v>20</v>
      </c>
      <c r="B20" t="s">
        <v>19</v>
      </c>
    </row>
  </sheetData>
  <sortState xmlns:xlrd2="http://schemas.microsoft.com/office/spreadsheetml/2017/richdata2" ref="A4:F12">
    <sortCondition descending="1" ref="B4:B12"/>
  </sortState>
  <mergeCells count="2">
    <mergeCell ref="A1:F1"/>
    <mergeCell ref="H1:M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考试成绩统计表</vt:lpstr>
      <vt:lpstr>成绩分析</vt:lpstr>
      <vt:lpstr>成绩分析!Criteria</vt:lpstr>
      <vt:lpstr>成绩分析!提取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32610</cp:lastModifiedBy>
  <dcterms:created xsi:type="dcterms:W3CDTF">2013-06-23T12:20:57Z</dcterms:created>
  <dcterms:modified xsi:type="dcterms:W3CDTF">2022-10-29T01:11:29Z</dcterms:modified>
</cp:coreProperties>
</file>